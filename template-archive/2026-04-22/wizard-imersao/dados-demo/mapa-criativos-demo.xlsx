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a de Criativos" sheetId="1" state="visible" r:id="rId3"/>
    <sheet name="Resumo" sheetId="2" state="visible" r:id="rId4"/>
  </sheets>
  <definedNames>
    <definedName function="false" hidden="true" localSheetId="0" name="_xlnm._FilterDatabase" vbProcedure="false">'Mapa de Criativos'!$A$1:$G$11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<sst xmlns="http://schemas.openxmlformats.org/spreadsheetml/2006/main" count="94" uniqueCount="58">
  <si>
    <t xml:space="preserve">Campanha</t>
  </si>
  <si>
    <t xml:space="preserve">Nome Interno</t>
  </si>
  <si>
    <t xml:space="preserve">Nome Meta Ads</t>
  </si>
  <si>
    <t xml:space="preserve">Ângulo</t>
  </si>
  <si>
    <t xml:space="preserve">Formato</t>
  </si>
  <si>
    <t xml:space="preserve">Arquivo</t>
  </si>
  <si>
    <t xml:space="preserve">Status</t>
  </si>
  <si>
    <t xml:space="preserve">Curso Marketing</t>
  </si>
  <si>
    <t xml:space="preserve">C1 — Delegação Original</t>
  </si>
  <si>
    <t xml:space="preserve">ex-ad001-banner-asc</t>
  </si>
  <si>
    <t xml:space="preserve">delegacao</t>
  </si>
  <si>
    <t xml:space="preserve">tweet-screenshot</t>
  </si>
  <si>
    <t xml:space="preserve">banners/c1-delegacao.png</t>
  </si>
  <si>
    <t xml:space="preserve">Ativo</t>
  </si>
  <si>
    <t xml:space="preserve">C2 — Resultado Rápido</t>
  </si>
  <si>
    <t xml:space="preserve">ex-ad002-banner-asc</t>
  </si>
  <si>
    <t xml:space="preserve">resultado-rapido</t>
  </si>
  <si>
    <t xml:space="preserve">screen-recording</t>
  </si>
  <si>
    <t xml:space="preserve">banners/c2-resultado.png</t>
  </si>
  <si>
    <t xml:space="preserve">C3 — Prova Social</t>
  </si>
  <si>
    <t xml:space="preserve">ex-ad003-banner-asc</t>
  </si>
  <si>
    <t xml:space="preserve">prova-social</t>
  </si>
  <si>
    <t xml:space="preserve">testimonial</t>
  </si>
  <si>
    <t xml:space="preserve">banners/c3-prova.png</t>
  </si>
  <si>
    <t xml:space="preserve">Pausado</t>
  </si>
  <si>
    <t xml:space="preserve">C4 — Não Técnico</t>
  </si>
  <si>
    <t xml:space="preserve">ex-ad004-banner-asc</t>
  </si>
  <si>
    <t xml:space="preserve">nao-tecnico</t>
  </si>
  <si>
    <t xml:space="preserve">banners/c4-naotecnico.png</t>
  </si>
  <si>
    <t xml:space="preserve">C5 — Delegação V2 (H1)</t>
  </si>
  <si>
    <t xml:space="preserve">ex-ad005-video-asc</t>
  </si>
  <si>
    <t xml:space="preserve">videos/c5-h1.mp4</t>
  </si>
  <si>
    <t xml:space="preserve">C5 — Delegação V2 (H2)</t>
  </si>
  <si>
    <t xml:space="preserve">ex-ad006-video-asc</t>
  </si>
  <si>
    <t xml:space="preserve">videos/c5-h2.mp4</t>
  </si>
  <si>
    <t xml:space="preserve">C5 — Delegação V2 (H3)</t>
  </si>
  <si>
    <t xml:space="preserve">ex-ad007-video-asc</t>
  </si>
  <si>
    <t xml:space="preserve">videos/c5-h3.mp4</t>
  </si>
  <si>
    <t xml:space="preserve">C6 — Antes vs Depois</t>
  </si>
  <si>
    <t xml:space="preserve">ex-ad008-banner-asc</t>
  </si>
  <si>
    <t xml:space="preserve">comparacao</t>
  </si>
  <si>
    <t xml:space="preserve">banners/c6-antes-depois.png</t>
  </si>
  <si>
    <t xml:space="preserve">Remarketing</t>
  </si>
  <si>
    <t xml:space="preserve">R1 — Depoimento Bruno</t>
  </si>
  <si>
    <t xml:space="preserve">ex-ad009-remarketing</t>
  </si>
  <si>
    <t xml:space="preserve">banners/r1-depoimento.png</t>
  </si>
  <si>
    <t xml:space="preserve">R2 — Oferta Stack</t>
  </si>
  <si>
    <t xml:space="preserve">ex-ad010-remarketing</t>
  </si>
  <si>
    <t xml:space="preserve">oferta</t>
  </si>
  <si>
    <t xml:space="preserve">stack-offer</t>
  </si>
  <si>
    <t xml:space="preserve">banners/r2-stack.png</t>
  </si>
  <si>
    <t xml:space="preserve">Resumo — Mapa de Criativos (Demo)</t>
  </si>
  <si>
    <t xml:space="preserve">Total de criativos</t>
  </si>
  <si>
    <t xml:space="preserve">Criativos ativos</t>
  </si>
  <si>
    <t xml:space="preserve">Criativos pausados</t>
  </si>
  <si>
    <t xml:space="preserve">Por Ângulo</t>
  </si>
  <si>
    <t xml:space="preserve">Por Formato</t>
  </si>
  <si>
    <t xml:space="preserve">Nota: dados de demonstração para a imersão. Em produção, esta planilha é sincronizada com Google Sheets via cron diário.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</si>
</sst>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6A34A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4"/>
      <color rgb="FF0A0E2A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0A0E2A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4748B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A0E2A"/>
        <bgColor rgb="FF000000"/>
      </patternFill>
    </fill>
    <fill>
      <patternFill patternType="solid">
        <fgColor rgb="FFF0F2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>
        <color rgb="FFD0D5E0"/>
      </right>
      <top/>
      <bottom style="thin">
        <color rgb="FFD0D5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A0E2A"/>
          <bgColor rgb="FF000000"/>
        </patternFill>
      </fill>
    </dxf>
    <dxf>
      <fill>
        <patternFill patternType="solid">
          <fgColor rgb="FFF0F2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6A34A"/>
          <bgColor rgb="FF000000"/>
        </patternFill>
      </fill>
    </dxf>
    <dxf>
      <fill>
        <patternFill patternType="solid">
          <fgColor rgb="FFDC2626"/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A0E2A"/>
      <rgbColor rgb="FF808000"/>
      <rgbColor rgb="FF800080"/>
      <rgbColor rgb="FF008080"/>
      <rgbColor rgb="FFC0C0C0"/>
      <rgbColor rgb="FF808080"/>
      <rgbColor rgb="FF9999FF"/>
      <rgbColor rgb="FF993366"/>
      <rgbColor rgb="FFF0F2F8"/>
      <rgbColor rgb="FFCCFFFF"/>
      <rgbColor rgb="FF660066"/>
      <rgbColor rgb="FFFF8080"/>
      <rgbColor rgb="FF0066CC"/>
      <rgbColor rgb="FFD0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16A34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5" min="4" style="0" width="18"/>
    <col collapsed="false" customWidth="true" hidden="false" outlineLevel="0" max="6" min="6" style="0" width="30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customFormat="false" ht="15" hidden="false" customHeight="false" outlineLevel="0" collapsed="false">
      <c r="A3" s="4" t="s">
        <v>7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5" t="s">
        <v>13</v>
      </c>
    </row>
    <row r="4" customFormat="false" ht="15" hidden="false" customHeight="false" outlineLevel="0" collapsed="false">
      <c r="A4" s="2" t="s">
        <v>7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6" t="s">
        <v>24</v>
      </c>
    </row>
    <row r="5" customFormat="false" ht="15" hidden="false" customHeight="false" outlineLevel="0" collapsed="false">
      <c r="A5" s="4" t="s">
        <v>7</v>
      </c>
      <c r="B5" s="4" t="s">
        <v>25</v>
      </c>
      <c r="C5" s="4" t="s">
        <v>26</v>
      </c>
      <c r="D5" s="4" t="s">
        <v>27</v>
      </c>
      <c r="E5" s="4" t="s">
        <v>11</v>
      </c>
      <c r="F5" s="4" t="s">
        <v>28</v>
      </c>
      <c r="G5" s="5" t="s">
        <v>13</v>
      </c>
    </row>
    <row r="6" customFormat="false" ht="15" hidden="false" customHeight="false" outlineLevel="0" collapsed="false">
      <c r="A6" s="2" t="s">
        <v>7</v>
      </c>
      <c r="B6" s="2" t="s">
        <v>29</v>
      </c>
      <c r="C6" s="2" t="s">
        <v>30</v>
      </c>
      <c r="D6" s="2" t="s">
        <v>10</v>
      </c>
      <c r="E6" s="2" t="s">
        <v>17</v>
      </c>
      <c r="F6" s="2" t="s">
        <v>31</v>
      </c>
      <c r="G6" s="3" t="s">
        <v>13</v>
      </c>
    </row>
    <row r="7" customFormat="false" ht="15" hidden="false" customHeight="false" outlineLevel="0" collapsed="false">
      <c r="A7" s="4" t="s">
        <v>7</v>
      </c>
      <c r="B7" s="4" t="s">
        <v>32</v>
      </c>
      <c r="C7" s="4" t="s">
        <v>33</v>
      </c>
      <c r="D7" s="4" t="s">
        <v>10</v>
      </c>
      <c r="E7" s="4" t="s">
        <v>17</v>
      </c>
      <c r="F7" s="4" t="s">
        <v>34</v>
      </c>
      <c r="G7" s="7" t="s">
        <v>24</v>
      </c>
    </row>
    <row r="8" customFormat="false" ht="15" hidden="false" customHeight="false" outlineLevel="0" collapsed="false">
      <c r="A8" s="2" t="s">
        <v>7</v>
      </c>
      <c r="B8" s="2" t="s">
        <v>35</v>
      </c>
      <c r="C8" s="2" t="s">
        <v>36</v>
      </c>
      <c r="D8" s="2" t="s">
        <v>10</v>
      </c>
      <c r="E8" s="2" t="s">
        <v>17</v>
      </c>
      <c r="F8" s="2" t="s">
        <v>37</v>
      </c>
      <c r="G8" s="3" t="s">
        <v>13</v>
      </c>
    </row>
    <row r="9" customFormat="false" ht="15" hidden="false" customHeight="false" outlineLevel="0" collapsed="false">
      <c r="A9" s="4" t="s">
        <v>7</v>
      </c>
      <c r="B9" s="4" t="s">
        <v>38</v>
      </c>
      <c r="C9" s="4" t="s">
        <v>39</v>
      </c>
      <c r="D9" s="4" t="s">
        <v>16</v>
      </c>
      <c r="E9" s="4" t="s">
        <v>40</v>
      </c>
      <c r="F9" s="4" t="s">
        <v>41</v>
      </c>
      <c r="G9" s="5" t="s">
        <v>13</v>
      </c>
    </row>
    <row r="10" customFormat="false" ht="15" hidden="false" customHeight="false" outlineLevel="0" collapsed="false">
      <c r="A10" s="2" t="s">
        <v>42</v>
      </c>
      <c r="B10" s="2" t="s">
        <v>43</v>
      </c>
      <c r="C10" s="2" t="s">
        <v>44</v>
      </c>
      <c r="D10" s="2" t="s">
        <v>21</v>
      </c>
      <c r="E10" s="2" t="s">
        <v>22</v>
      </c>
      <c r="F10" s="2" t="s">
        <v>45</v>
      </c>
      <c r="G10" s="3" t="s">
        <v>13</v>
      </c>
    </row>
    <row r="11" customFormat="false" ht="15" hidden="false" customHeight="false" outlineLevel="0" collapsed="false">
      <c r="A11" s="4" t="s">
        <v>42</v>
      </c>
      <c r="B11" s="4" t="s">
        <v>46</v>
      </c>
      <c r="C11" s="4" t="s">
        <v>47</v>
      </c>
      <c r="D11" s="4" t="s">
        <v>48</v>
      </c>
      <c r="E11" s="4" t="s">
        <v>49</v>
      </c>
      <c r="F11" s="4" t="s">
        <v>50</v>
      </c>
      <c r="G11" s="5" t="s">
        <v>13</v>
      </c>
    </row>
  </sheetData>
  <autoFilter ref="A1:G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8" t="s">
        <v>51</v>
      </c>
      <c r="B1" s="8"/>
      <c r="C1" s="8"/>
      <c r="D1" s="8"/>
    </row>
    <row r="3" customFormat="false" ht="15" hidden="false" customHeight="false" outlineLevel="0" collapsed="false">
      <c r="A3" s="9" t="s">
        <v>52</v>
      </c>
      <c r="B3" s="10" t="n">
        <f aca="false">COUNTA('Mapa de Criativos'!A2:A11)</f>
        <v>10</v>
      </c>
    </row>
    <row r="4" customFormat="false" ht="15" hidden="false" customHeight="false" outlineLevel="0" collapsed="false">
      <c r="A4" s="9" t="s">
        <v>53</v>
      </c>
      <c r="B4" s="10" t="n">
        <f aca="false">COUNTIF('Mapa de Criativos'!G2:G11,"Ativo")</f>
        <v>8</v>
      </c>
    </row>
    <row r="5" customFormat="false" ht="15" hidden="false" customHeight="false" outlineLevel="0" collapsed="false">
      <c r="A5" s="9" t="s">
        <v>54</v>
      </c>
      <c r="B5" s="10" t="n">
        <f aca="false">COUNTIF('Mapa de Criativos'!G2:G11,"Pausado")</f>
        <v>2</v>
      </c>
    </row>
    <row r="7" customFormat="false" ht="15" hidden="false" customHeight="false" outlineLevel="0" collapsed="false">
      <c r="A7" s="11" t="s">
        <v>55</v>
      </c>
    </row>
    <row r="8" customFormat="false" ht="15" hidden="false" customHeight="false" outlineLevel="0" collapsed="false">
      <c r="A8" s="12" t="s">
        <v>10</v>
      </c>
      <c r="B8" s="13" t="n">
        <f aca="false">COUNTIF('Mapa de Criativos'!D2:D11,"delegacao")</f>
        <v>4</v>
      </c>
    </row>
    <row r="9" customFormat="false" ht="15" hidden="false" customHeight="false" outlineLevel="0" collapsed="false">
      <c r="A9" s="12" t="s">
        <v>16</v>
      </c>
      <c r="B9" s="13" t="n">
        <f aca="false">COUNTIF('Mapa de Criativos'!D2:D11,"resultado-rapido")</f>
        <v>2</v>
      </c>
    </row>
    <row r="10" customFormat="false" ht="15" hidden="false" customHeight="false" outlineLevel="0" collapsed="false">
      <c r="A10" s="12" t="s">
        <v>21</v>
      </c>
      <c r="B10" s="13" t="n">
        <f aca="false">COUNTIF('Mapa de Criativos'!D2:D11,"prova-social")</f>
        <v>2</v>
      </c>
    </row>
    <row r="11" customFormat="false" ht="15" hidden="false" customHeight="false" outlineLevel="0" collapsed="false">
      <c r="A11" s="12" t="s">
        <v>27</v>
      </c>
      <c r="B11" s="13" t="n">
        <f aca="false">COUNTIF('Mapa de Criativos'!D2:D11,"nao-tecnico")</f>
        <v>1</v>
      </c>
    </row>
    <row r="12" customFormat="false" ht="15" hidden="false" customHeight="false" outlineLevel="0" collapsed="false">
      <c r="A12" s="12" t="s">
        <v>48</v>
      </c>
      <c r="B12" s="13" t="n">
        <f aca="false">COUNTIF('Mapa de Criativos'!D2:D11,"oferta")</f>
        <v>1</v>
      </c>
    </row>
    <row r="14" customFormat="false" ht="15" hidden="false" customHeight="false" outlineLevel="0" collapsed="false">
      <c r="A14" s="11" t="s">
        <v>56</v>
      </c>
    </row>
    <row r="15" customFormat="false" ht="15" hidden="false" customHeight="false" outlineLevel="0" collapsed="false">
      <c r="A15" s="12" t="s">
        <v>11</v>
      </c>
      <c r="B15" s="13" t="n">
        <f aca="false">COUNTIF('Mapa de Criativos'!E2:E11,"tweet-screenshot")</f>
        <v>2</v>
      </c>
    </row>
    <row r="16" customFormat="false" ht="15" hidden="false" customHeight="false" outlineLevel="0" collapsed="false">
      <c r="A16" s="12" t="s">
        <v>17</v>
      </c>
      <c r="B16" s="13" t="n">
        <f aca="false">COUNTIF('Mapa de Criativos'!E2:E11,"screen-recording")</f>
        <v>4</v>
      </c>
    </row>
    <row r="17" customFormat="false" ht="15" hidden="false" customHeight="false" outlineLevel="0" collapsed="false">
      <c r="A17" s="12" t="s">
        <v>22</v>
      </c>
      <c r="B17" s="13" t="n">
        <f aca="false">COUNTIF('Mapa de Criativos'!E2:E11,"testimonial")</f>
        <v>2</v>
      </c>
    </row>
    <row r="18" customFormat="false" ht="15" hidden="false" customHeight="false" outlineLevel="0" collapsed="false">
      <c r="A18" s="12" t="s">
        <v>40</v>
      </c>
      <c r="B18" s="13" t="n">
        <f aca="false">COUNTIF('Mapa de Criativos'!E2:E11,"comparacao")</f>
        <v>1</v>
      </c>
    </row>
    <row r="19" customFormat="false" ht="15" hidden="false" customHeight="false" outlineLevel="0" collapsed="false">
      <c r="A19" s="12" t="s">
        <v>49</v>
      </c>
      <c r="B19" s="13" t="n">
        <f aca="false">COUNTIF('Mapa de Criativos'!E2:E11,"stack-offer")</f>
        <v>1</v>
      </c>
    </row>
    <row r="21" customFormat="false" ht="15" hidden="false" customHeight="false" outlineLevel="0" collapsed="false">
      <c r="A21" s="14" t="s">
        <v>57</v>
      </c>
      <c r="B21" s="14"/>
      <c r="C21" s="14"/>
      <c r="D21" s="14"/>
    </row>
  </sheetData>
  <mergeCells count="2">
    <mergeCell ref="A1:D1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2026-03-29T01:19:18Z</dcterms:created>
  <dc:creator>openpyxl</dc:creator>
  <dc:description/>
  <dc:language>en-US</dc:language>
  <cp:lastModifiedBy/>
  <dcterms:modified xsi:type="dcterms:W3CDTF">2026-03-29T01:19:18Z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